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t\Power BI By Hannan\For Ministry of Industries Job\"/>
    </mc:Choice>
  </mc:AlternateContent>
  <xr:revisionPtr revIDLastSave="0" documentId="13_ncr:1_{D219D03E-0814-4207-AB7B-9DD2AC7C2760}" xr6:coauthVersionLast="47" xr6:coauthVersionMax="47" xr10:uidLastSave="{00000000-0000-0000-0000-000000000000}"/>
  <bookViews>
    <workbookView xWindow="-120" yWindow="-120" windowWidth="20730" windowHeight="11040" activeTab="1" xr2:uid="{08960B3A-171D-4E54-8DCF-4830DD0F4BDA}"/>
  </bookViews>
  <sheets>
    <sheet name="Facts_Production" sheetId="1" r:id="rId1"/>
    <sheet name="Dim_Items" sheetId="2" r:id="rId2"/>
    <sheet name="Dim_Calenda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7" i="2"/>
  <c r="H31" i="2"/>
  <c r="H22" i="2" l="1"/>
  <c r="H5" i="2"/>
  <c r="H12" i="2"/>
  <c r="H23" i="2"/>
  <c r="H11" i="2"/>
  <c r="H15" i="2"/>
  <c r="H24" i="2"/>
  <c r="H8" i="2"/>
  <c r="H6" i="2"/>
  <c r="H21" i="2"/>
  <c r="H10" i="2"/>
  <c r="H30" i="2"/>
  <c r="H14" i="2"/>
  <c r="H13" i="2"/>
  <c r="H28" i="2"/>
  <c r="H4" i="2"/>
  <c r="H27" i="2"/>
  <c r="H3" i="2"/>
  <c r="H34" i="2"/>
  <c r="H26" i="2"/>
  <c r="H2" i="2"/>
  <c r="H33" i="2"/>
  <c r="H25" i="2"/>
  <c r="H17" i="2"/>
  <c r="H9" i="2"/>
  <c r="H29" i="2"/>
  <c r="H20" i="2"/>
  <c r="H19" i="2"/>
  <c r="H18" i="2"/>
  <c r="H32" i="2"/>
  <c r="H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tc={4ECBAB68-7285-4470-8A42-6BC414712210}</author>
  </authors>
  <commentList>
    <comment ref="E28" authorId="0" shapeId="0" xr:uid="{4ECBAB68-7285-4470-8A42-6BC414712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have been 1.35745</t>
      </text>
    </comment>
  </commentList>
</comments>
</file>

<file path=xl/sharedStrings.xml><?xml version="1.0" encoding="utf-8"?>
<sst xmlns="http://schemas.openxmlformats.org/spreadsheetml/2006/main" count="348" uniqueCount="71">
  <si>
    <t>PSIC_Code</t>
  </si>
  <si>
    <t>Item_Name</t>
  </si>
  <si>
    <t>Fiscal_Year</t>
  </si>
  <si>
    <t>Period</t>
  </si>
  <si>
    <t>Value</t>
  </si>
  <si>
    <t>2024-2025</t>
  </si>
  <si>
    <t>Jul-Nov</t>
  </si>
  <si>
    <t>COKE</t>
  </si>
  <si>
    <t>CAST/ROLLED BILLET</t>
  </si>
  <si>
    <t>INGOTS &amp; BILLETS</t>
  </si>
  <si>
    <t>2025-2026</t>
  </si>
  <si>
    <t>UOM</t>
  </si>
  <si>
    <t>Weightage</t>
  </si>
  <si>
    <t>Source</t>
  </si>
  <si>
    <t>Category</t>
  </si>
  <si>
    <t>No</t>
  </si>
  <si>
    <t>Sugar</t>
  </si>
  <si>
    <t>Tonnes</t>
  </si>
  <si>
    <t>SHEET/FLOAT GLASS</t>
  </si>
  <si>
    <t>CEMENT</t>
  </si>
  <si>
    <t>CIGARETTES</t>
  </si>
  <si>
    <t>Mln. Nos</t>
  </si>
  <si>
    <t>Th.M2</t>
  </si>
  <si>
    <t>Th.Tons</t>
  </si>
  <si>
    <t>Nos</t>
  </si>
  <si>
    <t>Cane Commissioner</t>
  </si>
  <si>
    <t>Direct Units</t>
  </si>
  <si>
    <t>PBS</t>
  </si>
  <si>
    <t>SODA ASH CAUSTIC SODA 1</t>
  </si>
  <si>
    <t>SODA ASH CAUSTIC SODA 2</t>
  </si>
  <si>
    <t>Nutrient Tonnes</t>
  </si>
  <si>
    <t>PIG IRON/HOT METAL</t>
  </si>
  <si>
    <t>HOT ROLLED COILS</t>
  </si>
  <si>
    <t>COLD ROLLED COILS</t>
  </si>
  <si>
    <t>GALVANIZED PRODUCTS</t>
  </si>
  <si>
    <t>PAK STEEL MILLS</t>
  </si>
  <si>
    <t>STEEL MELTERS</t>
  </si>
  <si>
    <t>ST.RE-ROLLING</t>
  </si>
  <si>
    <t>Engineering Development Board</t>
  </si>
  <si>
    <t>PRINTING</t>
  </si>
  <si>
    <t>WRITING</t>
  </si>
  <si>
    <t>PACKING</t>
  </si>
  <si>
    <t>PAPER BOARD</t>
  </si>
  <si>
    <t>CHIP BOARD</t>
  </si>
  <si>
    <t>UREA</t>
  </si>
  <si>
    <t>AMM.NITRATE</t>
  </si>
  <si>
    <t>AMM.SULPHATE</t>
  </si>
  <si>
    <t>NITRO PHOSPHATE</t>
  </si>
  <si>
    <t>S.PHOSPHATE</t>
  </si>
  <si>
    <t>DI.AMM.PHOSPHATE</t>
  </si>
  <si>
    <t>NPK</t>
  </si>
  <si>
    <t>CARS</t>
  </si>
  <si>
    <t>JEEPS / SUVS</t>
  </si>
  <si>
    <t>LCV'S</t>
  </si>
  <si>
    <t>TRUCKS</t>
  </si>
  <si>
    <t>BUSES</t>
  </si>
  <si>
    <t>TRACTORS</t>
  </si>
  <si>
    <t>MOTOR CYCLE</t>
  </si>
  <si>
    <t>SUGAR</t>
  </si>
  <si>
    <t>Food &amp; Beverages</t>
  </si>
  <si>
    <t>Tobacco</t>
  </si>
  <si>
    <t>Paper &amp; Packaging</t>
  </si>
  <si>
    <t>Chemicals</t>
  </si>
  <si>
    <t>Fertilizers</t>
  </si>
  <si>
    <t>Non-Metallic Minerals</t>
  </si>
  <si>
    <t>Construction Material</t>
  </si>
  <si>
    <t>Iron &amp; Steel</t>
  </si>
  <si>
    <t>Automotive</t>
  </si>
  <si>
    <t>Re-Rolled Items</t>
  </si>
  <si>
    <t xml:space="preserve">
169117</t>
  </si>
  <si>
    <t>Sort_Order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</si>
</sst>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b/>
      <u/>
      <sz val="18"/>
      <color theme="1"/>
      <name val="Arial Unicode MS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5" fillId="0" borderId="1" xfId="0" applyNumberFormat="1" applyFont="1" applyBorder="1" applyAlignment="1">
      <alignment horizontal="center" vertical="center" shrinkToFit="1"/>
    </xf>
    <xf numFmtId="164" fontId="5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numFmt numFmtId="164" formatCode="0.0000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alignment vertical="center" textRotation="0" indent="0" justifyLastLine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8"/>
        <color theme="1"/>
        <name val="Arial Unicode M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1760092</xdr:colOff>
      <xdr:row>19</xdr:row>
      <xdr:rowOff>0</xdr:rowOff>
    </xdr:from>
    <xdr:ext cx="10795" cy="12458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D1739284-1938-4FFE-BA4F-496F9864CE00}"/>
            </a:ext>
          </a:extLst>
        </xdr:cNvPr>
        <xdr:cNvSpPr/>
      </xdr:nvSpPr>
      <xdr:spPr>
        <a:xfrm>
          <a:off x="2483992" y="8878542"/>
          <a:ext cx="10795" cy="1245870"/>
        </a:xfrm>
        <a:custGeom>
          <a:avLst/>
          <a:gdLst/>
          <a:ahLst/>
          <a:cxnLst/>
          <a:rect l="0" t="0" r="0" b="0"/>
          <a:pathLst>
            <a:path w="10795" h="1245870">
              <a:moveTo>
                <a:pt x="10668" y="0"/>
              </a:moveTo>
              <a:lnTo>
                <a:pt x="0" y="0"/>
              </a:lnTo>
              <a:lnTo>
                <a:pt x="0" y="1245412"/>
              </a:lnTo>
              <a:lnTo>
                <a:pt x="10668" y="1245412"/>
              </a:lnTo>
              <a:lnTo>
                <a:pt x="1066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1760092</xdr:colOff>
      <xdr:row>25</xdr:row>
      <xdr:rowOff>0</xdr:rowOff>
    </xdr:from>
    <xdr:ext cx="10795" cy="46799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9A932B44-A756-4977-B3FA-7C5C323E628B}"/>
            </a:ext>
          </a:extLst>
        </xdr:cNvPr>
        <xdr:cNvSpPr/>
      </xdr:nvSpPr>
      <xdr:spPr>
        <a:xfrm>
          <a:off x="2483992" y="10250445"/>
          <a:ext cx="10795" cy="467995"/>
        </a:xfrm>
        <a:custGeom>
          <a:avLst/>
          <a:gdLst/>
          <a:ahLst/>
          <a:cxnLst/>
          <a:rect l="0" t="0" r="0" b="0"/>
          <a:pathLst>
            <a:path w="10795" h="467995">
              <a:moveTo>
                <a:pt x="10668" y="0"/>
              </a:moveTo>
              <a:lnTo>
                <a:pt x="0" y="0"/>
              </a:lnTo>
              <a:lnTo>
                <a:pt x="0" y="467868"/>
              </a:lnTo>
              <a:lnTo>
                <a:pt x="10668" y="467868"/>
              </a:lnTo>
              <a:lnTo>
                <a:pt x="10668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1760092</xdr:colOff>
      <xdr:row>26</xdr:row>
      <xdr:rowOff>0</xdr:rowOff>
    </xdr:from>
    <xdr:ext cx="10795" cy="46863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1E1DD35C-FE6C-47FB-865E-41A0581DD488}"/>
            </a:ext>
          </a:extLst>
        </xdr:cNvPr>
        <xdr:cNvSpPr/>
      </xdr:nvSpPr>
      <xdr:spPr>
        <a:xfrm>
          <a:off x="2483992" y="10974165"/>
          <a:ext cx="10795" cy="468630"/>
        </a:xfrm>
        <a:custGeom>
          <a:avLst/>
          <a:gdLst/>
          <a:ahLst/>
          <a:cxnLst/>
          <a:rect l="0" t="0" r="0" b="0"/>
          <a:pathLst>
            <a:path w="10795" h="468630">
              <a:moveTo>
                <a:pt x="10668" y="0"/>
              </a:moveTo>
              <a:lnTo>
                <a:pt x="0" y="0"/>
              </a:lnTo>
              <a:lnTo>
                <a:pt x="0" y="468172"/>
              </a:lnTo>
              <a:lnTo>
                <a:pt x="10668" y="468172"/>
              </a:lnTo>
              <a:lnTo>
                <a:pt x="10668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nnan Baig (F23), Muhammad" id="{756F4AF6-52C1-41CA-957C-F942B8BCD5DE}" userId="S::mhannan.mscs23mcs@student.nust.edu.pk::2959c020-1b72-43e9-95fa-dee9a15aebc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A6A7FD-6955-467B-9117-9C828BD13774}" name="Dim_Items" displayName="Dim_Items" ref="A1:G34" totalsRowShown="0" headerRowDxfId="11" dataDxfId="9" headerRowBorderDxfId="10" tableBorderDxfId="8">
  <autoFilter ref="A1:G34" xr:uid="{1DA6A7FD-6955-467B-9117-9C828BD13774}"/>
  <tableColumns count="7">
    <tableColumn id="1" xr3:uid="{4EC7E539-0400-4390-AA19-ACBB44AE0F86}" name="No" dataDxfId="7"/>
    <tableColumn id="2" xr3:uid="{253ED4B7-797C-437D-B985-AF0C697290F8}" name="PSIC_Code" dataDxfId="6"/>
    <tableColumn id="3" xr3:uid="{125E5927-3841-4E3D-BDD2-FE9A0D35D0FC}" name="Item_Name" dataDxfId="5"/>
    <tableColumn id="4" xr3:uid="{765F6028-25B9-4B0F-93C2-E8F293A0AAAB}" name="UOM" dataDxfId="4"/>
    <tableColumn id="5" xr3:uid="{A4D0FD93-8141-49FB-8692-B4C26E30F98B}" name="Weightage" dataDxfId="3"/>
    <tableColumn id="6" xr3:uid="{5BEA3710-5725-4FEE-9E56-AAD7B238BD69}" name="Source" dataDxfId="2"/>
    <tableColumn id="7" xr3:uid="{668C1613-3C92-4AF5-BA21-7A4E237E0B0C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8" dT="2026-02-06T18:20:29.42" personId="{756F4AF6-52C1-41CA-957C-F942B8BCD5DE}" id="{4ECBAB68-7285-4470-8A42-6BC414712210}">
    <text>Should have been 1.35745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4B5C-18A3-4FDD-8D2D-FF8476E5119A}">
  <dimension ref="A1:G67"/>
  <sheetViews>
    <sheetView zoomScale="129" zoomScaleNormal="100" workbookViewId="0">
      <pane ySplit="1" topLeftCell="A2" activePane="bottomLeft" state="frozen"/>
      <selection pane="bottomLeft" activeCell="F1" sqref="F1:F1048576"/>
    </sheetView>
  </sheetViews>
  <sheetFormatPr defaultRowHeight="15"/>
  <cols>
    <col min="1" max="1" width="9.140625" style="11"/>
    <col min="2" max="2" width="17.140625" style="11" bestFit="1" customWidth="1"/>
    <col min="3" max="3" width="23.85546875" style="11" bestFit="1" customWidth="1"/>
    <col min="4" max="4" width="18" style="11" bestFit="1" customWidth="1"/>
    <col min="5" max="5" width="13.140625" style="11" customWidth="1"/>
    <col min="6" max="6" width="13.5703125" style="11" customWidth="1"/>
    <col min="7" max="7" width="12.7109375" style="12" customWidth="1"/>
    <col min="8" max="16384" width="9.140625" style="12"/>
  </cols>
  <sheetData>
    <row r="1" spans="1:7" s="16" customFormat="1" ht="24">
      <c r="A1" s="16" t="s">
        <v>15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</row>
    <row r="2" spans="1:7" ht="24.6" customHeight="1">
      <c r="A2" s="11">
        <v>1</v>
      </c>
      <c r="B2" s="1">
        <v>10721</v>
      </c>
      <c r="C2" s="6" t="s">
        <v>58</v>
      </c>
      <c r="D2" s="6" t="s">
        <v>5</v>
      </c>
      <c r="E2" s="6" t="s">
        <v>6</v>
      </c>
      <c r="F2" s="10">
        <v>191366</v>
      </c>
    </row>
    <row r="3" spans="1:7" ht="14.25" customHeight="1">
      <c r="A3" s="11">
        <v>2</v>
      </c>
      <c r="B3" s="1">
        <v>12000</v>
      </c>
      <c r="C3" s="6" t="s">
        <v>20</v>
      </c>
      <c r="D3" s="6" t="s">
        <v>5</v>
      </c>
      <c r="E3" s="6" t="s">
        <v>6</v>
      </c>
      <c r="F3" s="10">
        <v>15398</v>
      </c>
    </row>
    <row r="4" spans="1:7" ht="18" customHeight="1">
      <c r="A4" s="11">
        <v>3</v>
      </c>
      <c r="B4" s="1">
        <v>18110</v>
      </c>
      <c r="C4" s="6" t="s">
        <v>39</v>
      </c>
      <c r="D4" s="6" t="s">
        <v>5</v>
      </c>
      <c r="E4" s="6" t="s">
        <v>6</v>
      </c>
      <c r="F4" s="10">
        <v>29597</v>
      </c>
      <c r="G4" s="12">
        <f>SUM(F2:F67)</f>
        <v>23561046</v>
      </c>
    </row>
    <row r="5" spans="1:7" ht="18" customHeight="1">
      <c r="A5" s="11">
        <v>4</v>
      </c>
      <c r="B5" s="1">
        <v>18110</v>
      </c>
      <c r="C5" s="6" t="s">
        <v>40</v>
      </c>
      <c r="D5" s="6" t="s">
        <v>5</v>
      </c>
      <c r="E5" s="6" t="s">
        <v>6</v>
      </c>
      <c r="F5" s="10">
        <v>46790</v>
      </c>
    </row>
    <row r="6" spans="1:7" ht="22.5" customHeight="1">
      <c r="A6" s="11">
        <v>5</v>
      </c>
      <c r="B6" s="1">
        <v>17020</v>
      </c>
      <c r="C6" s="6" t="s">
        <v>41</v>
      </c>
      <c r="D6" s="6" t="s">
        <v>5</v>
      </c>
      <c r="E6" s="6" t="s">
        <v>6</v>
      </c>
      <c r="F6" s="10">
        <v>76325</v>
      </c>
    </row>
    <row r="7" spans="1:7" ht="15.75" customHeight="1">
      <c r="A7" s="11">
        <v>6</v>
      </c>
      <c r="B7" s="1">
        <v>17020</v>
      </c>
      <c r="C7" s="6" t="s">
        <v>42</v>
      </c>
      <c r="D7" s="6" t="s">
        <v>5</v>
      </c>
      <c r="E7" s="6" t="s">
        <v>6</v>
      </c>
      <c r="F7" s="10">
        <v>182003</v>
      </c>
    </row>
    <row r="8" spans="1:7" ht="12.75" customHeight="1">
      <c r="A8" s="11">
        <v>7</v>
      </c>
      <c r="B8" s="1">
        <v>16210</v>
      </c>
      <c r="C8" s="6" t="s">
        <v>43</v>
      </c>
      <c r="D8" s="6" t="s">
        <v>5</v>
      </c>
      <c r="E8" s="6" t="s">
        <v>6</v>
      </c>
      <c r="F8" s="6">
        <v>0</v>
      </c>
    </row>
    <row r="9" spans="1:7" ht="21.75" customHeight="1">
      <c r="A9" s="11">
        <v>8</v>
      </c>
      <c r="B9" s="1">
        <v>20110</v>
      </c>
      <c r="C9" s="6" t="s">
        <v>28</v>
      </c>
      <c r="D9" s="6" t="s">
        <v>5</v>
      </c>
      <c r="E9" s="6" t="s">
        <v>6</v>
      </c>
      <c r="F9" s="6">
        <v>329689</v>
      </c>
    </row>
    <row r="10" spans="1:7" ht="24.75" customHeight="1">
      <c r="A10" s="11">
        <v>9</v>
      </c>
      <c r="B10" s="7">
        <v>20110</v>
      </c>
      <c r="C10" s="6" t="s">
        <v>29</v>
      </c>
      <c r="D10" s="6" t="s">
        <v>5</v>
      </c>
      <c r="E10" s="6" t="s">
        <v>6</v>
      </c>
      <c r="F10" s="6">
        <v>196964</v>
      </c>
    </row>
    <row r="11" spans="1:7" ht="17.25" customHeight="1">
      <c r="A11" s="11">
        <v>10</v>
      </c>
      <c r="B11" s="1">
        <v>20120</v>
      </c>
      <c r="C11" s="6" t="s">
        <v>44</v>
      </c>
      <c r="D11" s="6" t="s">
        <v>5</v>
      </c>
      <c r="E11" s="6" t="s">
        <v>6</v>
      </c>
      <c r="F11" s="10">
        <v>2887955</v>
      </c>
    </row>
    <row r="12" spans="1:7" ht="24.6" customHeight="1">
      <c r="A12" s="11">
        <v>11</v>
      </c>
      <c r="B12" s="1">
        <v>20120</v>
      </c>
      <c r="C12" s="6" t="s">
        <v>45</v>
      </c>
      <c r="D12" s="6" t="s">
        <v>5</v>
      </c>
      <c r="E12" s="6" t="s">
        <v>6</v>
      </c>
      <c r="F12" s="10">
        <v>343536</v>
      </c>
    </row>
    <row r="13" spans="1:7" ht="24.6" customHeight="1">
      <c r="A13" s="11">
        <v>12</v>
      </c>
      <c r="B13" s="1">
        <v>20120</v>
      </c>
      <c r="C13" s="6" t="s">
        <v>46</v>
      </c>
      <c r="D13" s="6" t="s">
        <v>5</v>
      </c>
      <c r="E13" s="6" t="s">
        <v>6</v>
      </c>
      <c r="F13" s="6">
        <v>0</v>
      </c>
    </row>
    <row r="14" spans="1:7" ht="24.6" customHeight="1">
      <c r="A14" s="11">
        <v>13</v>
      </c>
      <c r="B14" s="1">
        <v>20120</v>
      </c>
      <c r="C14" s="6" t="s">
        <v>47</v>
      </c>
      <c r="D14" s="6" t="s">
        <v>5</v>
      </c>
      <c r="E14" s="6" t="s">
        <v>6</v>
      </c>
      <c r="F14" s="10">
        <v>338614</v>
      </c>
    </row>
    <row r="15" spans="1:7" ht="24.6" customHeight="1">
      <c r="A15" s="11">
        <v>14</v>
      </c>
      <c r="B15" s="1">
        <v>20120</v>
      </c>
      <c r="C15" s="6" t="s">
        <v>48</v>
      </c>
      <c r="D15" s="6" t="s">
        <v>5</v>
      </c>
      <c r="E15" s="6" t="s">
        <v>6</v>
      </c>
      <c r="F15" s="10">
        <v>33500</v>
      </c>
    </row>
    <row r="16" spans="1:7" ht="24.6" customHeight="1">
      <c r="A16" s="11">
        <v>15</v>
      </c>
      <c r="B16" s="1">
        <v>20120</v>
      </c>
      <c r="C16" s="6" t="s">
        <v>49</v>
      </c>
      <c r="D16" s="6" t="s">
        <v>5</v>
      </c>
      <c r="E16" s="6" t="s">
        <v>6</v>
      </c>
      <c r="F16" s="10">
        <v>375518</v>
      </c>
    </row>
    <row r="17" spans="1:6" ht="15.75" customHeight="1">
      <c r="A17" s="11">
        <v>16</v>
      </c>
      <c r="B17" s="1">
        <v>20120</v>
      </c>
      <c r="C17" s="6" t="s">
        <v>50</v>
      </c>
      <c r="D17" s="6" t="s">
        <v>5</v>
      </c>
      <c r="E17" s="6" t="s">
        <v>6</v>
      </c>
      <c r="F17" s="10">
        <v>27409</v>
      </c>
    </row>
    <row r="18" spans="1:6" ht="24.6" customHeight="1">
      <c r="A18" s="11">
        <v>17</v>
      </c>
      <c r="B18" s="1">
        <v>23110</v>
      </c>
      <c r="C18" s="6" t="s">
        <v>18</v>
      </c>
      <c r="D18" s="6" t="s">
        <v>5</v>
      </c>
      <c r="E18" s="6" t="s">
        <v>6</v>
      </c>
      <c r="F18" s="10">
        <v>5489</v>
      </c>
    </row>
    <row r="19" spans="1:6" ht="18.75" customHeight="1">
      <c r="A19" s="11">
        <v>18</v>
      </c>
      <c r="B19" s="1">
        <v>23940</v>
      </c>
      <c r="C19" s="6" t="s">
        <v>19</v>
      </c>
      <c r="D19" s="6" t="s">
        <v>5</v>
      </c>
      <c r="E19" s="6" t="s">
        <v>6</v>
      </c>
      <c r="F19" s="10">
        <v>15727</v>
      </c>
    </row>
    <row r="20" spans="1:6" ht="18.600000000000001" customHeight="1">
      <c r="A20" s="11">
        <v>19</v>
      </c>
      <c r="B20" s="1">
        <v>19100</v>
      </c>
      <c r="C20" s="6" t="s">
        <v>7</v>
      </c>
      <c r="D20" s="6" t="s">
        <v>5</v>
      </c>
      <c r="E20" s="6" t="s">
        <v>6</v>
      </c>
      <c r="F20" s="7">
        <v>0</v>
      </c>
    </row>
    <row r="21" spans="1:6" ht="18.2" customHeight="1">
      <c r="A21" s="11">
        <v>20</v>
      </c>
      <c r="B21" s="1">
        <v>24100</v>
      </c>
      <c r="C21" s="4" t="s">
        <v>31</v>
      </c>
      <c r="D21" s="6" t="s">
        <v>5</v>
      </c>
      <c r="E21" s="6" t="s">
        <v>6</v>
      </c>
      <c r="F21" s="7">
        <v>0</v>
      </c>
    </row>
    <row r="22" spans="1:6" ht="18.2" customHeight="1">
      <c r="A22" s="11">
        <v>21</v>
      </c>
      <c r="B22" s="1">
        <v>24310</v>
      </c>
      <c r="C22" s="6" t="s">
        <v>8</v>
      </c>
      <c r="D22" s="6" t="s">
        <v>5</v>
      </c>
      <c r="E22" s="6" t="s">
        <v>6</v>
      </c>
      <c r="F22" s="7">
        <v>1620000</v>
      </c>
    </row>
    <row r="23" spans="1:6" ht="17.25" customHeight="1">
      <c r="A23" s="11">
        <v>22</v>
      </c>
      <c r="B23" s="1">
        <v>24100</v>
      </c>
      <c r="C23" s="4" t="s">
        <v>32</v>
      </c>
      <c r="D23" s="6" t="s">
        <v>5</v>
      </c>
      <c r="E23" s="6" t="s">
        <v>6</v>
      </c>
      <c r="F23" s="7">
        <v>1620000</v>
      </c>
    </row>
    <row r="24" spans="1:6" ht="17.25" customHeight="1">
      <c r="A24" s="11">
        <v>23</v>
      </c>
      <c r="B24" s="1">
        <v>24100</v>
      </c>
      <c r="C24" s="4" t="s">
        <v>33</v>
      </c>
      <c r="D24" s="6" t="s">
        <v>5</v>
      </c>
      <c r="E24" s="6" t="s">
        <v>6</v>
      </c>
      <c r="F24" s="7">
        <v>1441900</v>
      </c>
    </row>
    <row r="25" spans="1:6" ht="15.75" customHeight="1">
      <c r="A25" s="11">
        <v>24</v>
      </c>
      <c r="B25" s="1">
        <v>24100</v>
      </c>
      <c r="C25" s="4" t="s">
        <v>34</v>
      </c>
      <c r="D25" s="6" t="s">
        <v>5</v>
      </c>
      <c r="E25" s="6" t="s">
        <v>6</v>
      </c>
      <c r="F25" s="7">
        <v>1441900</v>
      </c>
    </row>
    <row r="26" spans="1:6" ht="12" customHeight="1">
      <c r="A26" s="11">
        <v>25</v>
      </c>
      <c r="B26" s="1">
        <v>24100</v>
      </c>
      <c r="C26" s="6" t="s">
        <v>9</v>
      </c>
      <c r="D26" s="6" t="s">
        <v>5</v>
      </c>
      <c r="E26" s="6" t="s">
        <v>6</v>
      </c>
      <c r="F26" s="7">
        <v>0</v>
      </c>
    </row>
    <row r="27" spans="1:6" ht="12" customHeight="1">
      <c r="A27" s="11">
        <v>27</v>
      </c>
      <c r="B27" s="1">
        <v>24106</v>
      </c>
      <c r="C27" s="6" t="s">
        <v>68</v>
      </c>
      <c r="D27" s="6" t="s">
        <v>5</v>
      </c>
      <c r="E27" s="6" t="s">
        <v>6</v>
      </c>
      <c r="F27" s="7">
        <v>0</v>
      </c>
    </row>
    <row r="28" spans="1:6" ht="17.25" customHeight="1">
      <c r="A28" s="11">
        <v>29</v>
      </c>
      <c r="B28" s="1">
        <v>29100</v>
      </c>
      <c r="C28" s="6" t="s">
        <v>51</v>
      </c>
      <c r="D28" s="6" t="s">
        <v>5</v>
      </c>
      <c r="E28" s="6" t="s">
        <v>6</v>
      </c>
      <c r="F28" s="10">
        <v>34521</v>
      </c>
    </row>
    <row r="29" spans="1:6" ht="17.45" customHeight="1">
      <c r="A29" s="11">
        <v>30</v>
      </c>
      <c r="B29" s="1">
        <v>29100</v>
      </c>
      <c r="C29" s="6" t="s">
        <v>52</v>
      </c>
      <c r="D29" s="6" t="s">
        <v>5</v>
      </c>
      <c r="E29" s="6" t="s">
        <v>6</v>
      </c>
      <c r="F29" s="10">
        <v>15113</v>
      </c>
    </row>
    <row r="30" spans="1:6" ht="17.45" customHeight="1">
      <c r="A30" s="11">
        <v>31</v>
      </c>
      <c r="B30" s="1">
        <v>29100</v>
      </c>
      <c r="C30" s="6" t="s">
        <v>53</v>
      </c>
      <c r="D30" s="6" t="s">
        <v>5</v>
      </c>
      <c r="E30" s="6" t="s">
        <v>6</v>
      </c>
      <c r="F30" s="10">
        <v>11948</v>
      </c>
    </row>
    <row r="31" spans="1:6" ht="17.25" customHeight="1">
      <c r="A31" s="11">
        <v>32</v>
      </c>
      <c r="B31" s="1">
        <v>29100</v>
      </c>
      <c r="C31" s="6" t="s">
        <v>54</v>
      </c>
      <c r="D31" s="6" t="s">
        <v>5</v>
      </c>
      <c r="E31" s="6" t="s">
        <v>6</v>
      </c>
      <c r="F31" s="10">
        <v>1656</v>
      </c>
    </row>
    <row r="32" spans="1:6" ht="17.45" customHeight="1">
      <c r="A32" s="11">
        <v>33</v>
      </c>
      <c r="B32" s="1">
        <v>29100</v>
      </c>
      <c r="C32" s="6" t="s">
        <v>55</v>
      </c>
      <c r="D32" s="6" t="s">
        <v>5</v>
      </c>
      <c r="E32" s="6" t="s">
        <v>6</v>
      </c>
      <c r="F32" s="10">
        <v>287</v>
      </c>
    </row>
    <row r="33" spans="1:6" ht="17.100000000000001" customHeight="1">
      <c r="A33" s="11">
        <v>34</v>
      </c>
      <c r="B33" s="1">
        <v>28211</v>
      </c>
      <c r="C33" s="6" t="s">
        <v>56</v>
      </c>
      <c r="D33" s="6" t="s">
        <v>5</v>
      </c>
      <c r="E33" s="6" t="s">
        <v>6</v>
      </c>
      <c r="F33" s="10">
        <v>11579</v>
      </c>
    </row>
    <row r="34" spans="1:6" s="15" customFormat="1" ht="14.85" customHeight="1">
      <c r="A34" s="11">
        <v>35</v>
      </c>
      <c r="B34" s="13">
        <v>30910</v>
      </c>
      <c r="C34" s="9" t="s">
        <v>57</v>
      </c>
      <c r="D34" s="9" t="s">
        <v>5</v>
      </c>
      <c r="E34" s="9" t="s">
        <v>6</v>
      </c>
      <c r="F34" s="14">
        <v>639625</v>
      </c>
    </row>
    <row r="35" spans="1:6" ht="14.85" customHeight="1">
      <c r="A35" s="11">
        <v>36</v>
      </c>
      <c r="B35" s="1">
        <v>10721</v>
      </c>
      <c r="C35" s="6" t="s">
        <v>58</v>
      </c>
      <c r="D35" s="6" t="s">
        <v>10</v>
      </c>
      <c r="E35" s="6" t="s">
        <v>6</v>
      </c>
      <c r="F35" s="10">
        <v>200545</v>
      </c>
    </row>
    <row r="36" spans="1:6" ht="14.85" customHeight="1">
      <c r="A36" s="11">
        <v>37</v>
      </c>
      <c r="B36" s="1">
        <v>12000</v>
      </c>
      <c r="C36" s="6" t="s">
        <v>20</v>
      </c>
      <c r="D36" s="6" t="s">
        <v>10</v>
      </c>
      <c r="E36" s="6" t="s">
        <v>6</v>
      </c>
      <c r="F36" s="10">
        <v>15928</v>
      </c>
    </row>
    <row r="37" spans="1:6" ht="14.85" customHeight="1">
      <c r="A37" s="11">
        <v>38</v>
      </c>
      <c r="B37" s="1">
        <v>18110</v>
      </c>
      <c r="C37" s="6" t="s">
        <v>39</v>
      </c>
      <c r="D37" s="6" t="s">
        <v>10</v>
      </c>
      <c r="E37" s="6" t="s">
        <v>6</v>
      </c>
      <c r="F37" s="10">
        <v>20370</v>
      </c>
    </row>
    <row r="38" spans="1:6">
      <c r="A38" s="11">
        <v>39</v>
      </c>
      <c r="B38" s="1">
        <v>18110</v>
      </c>
      <c r="C38" s="6" t="s">
        <v>40</v>
      </c>
      <c r="D38" s="6" t="s">
        <v>10</v>
      </c>
      <c r="E38" s="6" t="s">
        <v>6</v>
      </c>
      <c r="F38" s="10">
        <v>52512</v>
      </c>
    </row>
    <row r="39" spans="1:6">
      <c r="A39" s="11">
        <v>40</v>
      </c>
      <c r="B39" s="1">
        <v>17020</v>
      </c>
      <c r="C39" s="6" t="s">
        <v>41</v>
      </c>
      <c r="D39" s="6" t="s">
        <v>10</v>
      </c>
      <c r="E39" s="6" t="s">
        <v>6</v>
      </c>
      <c r="F39" s="10">
        <v>67984</v>
      </c>
    </row>
    <row r="40" spans="1:6">
      <c r="A40" s="11">
        <v>41</v>
      </c>
      <c r="B40" s="1">
        <v>17020</v>
      </c>
      <c r="C40" s="6" t="s">
        <v>42</v>
      </c>
      <c r="D40" s="6" t="s">
        <v>10</v>
      </c>
      <c r="E40" s="6" t="s">
        <v>6</v>
      </c>
      <c r="F40" s="6">
        <v>203767</v>
      </c>
    </row>
    <row r="41" spans="1:6">
      <c r="A41" s="11">
        <v>42</v>
      </c>
      <c r="B41" s="1">
        <v>16210</v>
      </c>
      <c r="C41" s="6" t="s">
        <v>43</v>
      </c>
      <c r="D41" s="6" t="s">
        <v>10</v>
      </c>
      <c r="E41" s="6" t="s">
        <v>6</v>
      </c>
      <c r="F41" s="4">
        <v>0</v>
      </c>
    </row>
    <row r="42" spans="1:6">
      <c r="A42" s="11">
        <v>43</v>
      </c>
      <c r="B42" s="1">
        <v>20110</v>
      </c>
      <c r="C42" s="6" t="s">
        <v>28</v>
      </c>
      <c r="D42" s="6" t="s">
        <v>10</v>
      </c>
      <c r="E42" s="6" t="s">
        <v>6</v>
      </c>
      <c r="F42" s="4">
        <v>237345</v>
      </c>
    </row>
    <row r="43" spans="1:6" s="33" customFormat="1" ht="21.75" customHeight="1">
      <c r="A43" s="31">
        <v>44</v>
      </c>
      <c r="B43" s="8">
        <v>20110</v>
      </c>
      <c r="C43" s="32" t="s">
        <v>29</v>
      </c>
      <c r="D43" s="32" t="s">
        <v>10</v>
      </c>
      <c r="E43" s="32" t="s">
        <v>6</v>
      </c>
      <c r="F43" s="32" t="s">
        <v>69</v>
      </c>
    </row>
    <row r="44" spans="1:6">
      <c r="A44" s="11">
        <v>45</v>
      </c>
      <c r="B44" s="1">
        <v>20120</v>
      </c>
      <c r="C44" s="6" t="s">
        <v>44</v>
      </c>
      <c r="D44" s="6" t="s">
        <v>10</v>
      </c>
      <c r="E44" s="6" t="s">
        <v>6</v>
      </c>
      <c r="F44" s="10">
        <v>2870441</v>
      </c>
    </row>
    <row r="45" spans="1:6">
      <c r="A45" s="11">
        <v>46</v>
      </c>
      <c r="B45" s="1">
        <v>20120</v>
      </c>
      <c r="C45" s="6" t="s">
        <v>45</v>
      </c>
      <c r="D45" s="6" t="s">
        <v>10</v>
      </c>
      <c r="E45" s="6" t="s">
        <v>6</v>
      </c>
      <c r="F45" s="10">
        <v>357577</v>
      </c>
    </row>
    <row r="46" spans="1:6">
      <c r="A46" s="11">
        <v>47</v>
      </c>
      <c r="B46" s="1">
        <v>20120</v>
      </c>
      <c r="C46" s="6" t="s">
        <v>46</v>
      </c>
      <c r="D46" s="6" t="s">
        <v>10</v>
      </c>
      <c r="E46" s="6" t="s">
        <v>6</v>
      </c>
      <c r="F46" s="4">
        <v>0</v>
      </c>
    </row>
    <row r="47" spans="1:6">
      <c r="A47" s="11">
        <v>48</v>
      </c>
      <c r="B47" s="1">
        <v>20120</v>
      </c>
      <c r="C47" s="6" t="s">
        <v>47</v>
      </c>
      <c r="D47" s="6" t="s">
        <v>10</v>
      </c>
      <c r="E47" s="6" t="s">
        <v>6</v>
      </c>
      <c r="F47" s="10">
        <v>363054</v>
      </c>
    </row>
    <row r="48" spans="1:6">
      <c r="A48" s="11">
        <v>49</v>
      </c>
      <c r="B48" s="1">
        <v>20120</v>
      </c>
      <c r="C48" s="6" t="s">
        <v>48</v>
      </c>
      <c r="D48" s="6" t="s">
        <v>10</v>
      </c>
      <c r="E48" s="6" t="s">
        <v>6</v>
      </c>
      <c r="F48" s="10">
        <v>39893</v>
      </c>
    </row>
    <row r="49" spans="1:6">
      <c r="A49" s="11">
        <v>50</v>
      </c>
      <c r="B49" s="1">
        <v>20120</v>
      </c>
      <c r="C49" s="6" t="s">
        <v>49</v>
      </c>
      <c r="D49" s="6" t="s">
        <v>10</v>
      </c>
      <c r="E49" s="6" t="s">
        <v>6</v>
      </c>
      <c r="F49" s="10">
        <v>367574</v>
      </c>
    </row>
    <row r="50" spans="1:6">
      <c r="A50" s="11">
        <v>51</v>
      </c>
      <c r="B50" s="1">
        <v>20120</v>
      </c>
      <c r="C50" s="6" t="s">
        <v>50</v>
      </c>
      <c r="D50" s="6" t="s">
        <v>10</v>
      </c>
      <c r="E50" s="6" t="s">
        <v>6</v>
      </c>
      <c r="F50" s="10">
        <v>40566</v>
      </c>
    </row>
    <row r="51" spans="1:6">
      <c r="A51" s="11">
        <v>52</v>
      </c>
      <c r="B51" s="1">
        <v>23110</v>
      </c>
      <c r="C51" s="6" t="s">
        <v>18</v>
      </c>
      <c r="D51" s="6" t="s">
        <v>10</v>
      </c>
      <c r="E51" s="6" t="s">
        <v>6</v>
      </c>
      <c r="F51" s="6">
        <v>5361</v>
      </c>
    </row>
    <row r="52" spans="1:6">
      <c r="A52" s="11">
        <v>53</v>
      </c>
      <c r="B52" s="1">
        <v>23940</v>
      </c>
      <c r="C52" s="6" t="s">
        <v>19</v>
      </c>
      <c r="D52" s="6" t="s">
        <v>10</v>
      </c>
      <c r="E52" s="6" t="s">
        <v>6</v>
      </c>
      <c r="F52" s="6">
        <v>17845</v>
      </c>
    </row>
    <row r="53" spans="1:6">
      <c r="A53" s="11">
        <v>54</v>
      </c>
      <c r="B53" s="1">
        <v>19100</v>
      </c>
      <c r="C53" s="4" t="s">
        <v>7</v>
      </c>
      <c r="D53" s="6" t="s">
        <v>10</v>
      </c>
      <c r="E53" s="6" t="s">
        <v>6</v>
      </c>
      <c r="F53" s="4">
        <v>0</v>
      </c>
    </row>
    <row r="54" spans="1:6">
      <c r="A54" s="11">
        <v>55</v>
      </c>
      <c r="B54" s="1">
        <v>24100</v>
      </c>
      <c r="C54" s="4" t="s">
        <v>31</v>
      </c>
      <c r="D54" s="6" t="s">
        <v>10</v>
      </c>
      <c r="E54" s="6" t="s">
        <v>6</v>
      </c>
      <c r="F54" s="4">
        <v>0</v>
      </c>
    </row>
    <row r="55" spans="1:6">
      <c r="A55" s="11">
        <v>56</v>
      </c>
      <c r="B55" s="1">
        <v>24310</v>
      </c>
      <c r="C55" s="4" t="s">
        <v>8</v>
      </c>
      <c r="D55" s="6" t="s">
        <v>10</v>
      </c>
      <c r="E55" s="6" t="s">
        <v>6</v>
      </c>
      <c r="F55" s="4">
        <v>1455000</v>
      </c>
    </row>
    <row r="56" spans="1:6">
      <c r="A56" s="11">
        <v>57</v>
      </c>
      <c r="B56" s="1">
        <v>24100</v>
      </c>
      <c r="C56" s="4" t="s">
        <v>32</v>
      </c>
      <c r="D56" s="6" t="s">
        <v>10</v>
      </c>
      <c r="E56" s="6" t="s">
        <v>6</v>
      </c>
      <c r="F56" s="4">
        <v>1455000</v>
      </c>
    </row>
    <row r="57" spans="1:6">
      <c r="A57" s="11">
        <v>58</v>
      </c>
      <c r="B57" s="1">
        <v>24100</v>
      </c>
      <c r="C57" s="4" t="s">
        <v>33</v>
      </c>
      <c r="D57" s="6" t="s">
        <v>10</v>
      </c>
      <c r="E57" s="6" t="s">
        <v>6</v>
      </c>
      <c r="F57" s="4">
        <v>1425100</v>
      </c>
    </row>
    <row r="58" spans="1:6">
      <c r="A58" s="11">
        <v>59</v>
      </c>
      <c r="B58" s="1">
        <v>24100</v>
      </c>
      <c r="C58" s="4" t="s">
        <v>34</v>
      </c>
      <c r="D58" s="6" t="s">
        <v>10</v>
      </c>
      <c r="E58" s="6" t="s">
        <v>6</v>
      </c>
      <c r="F58" s="4">
        <v>1425100</v>
      </c>
    </row>
    <row r="59" spans="1:6">
      <c r="A59" s="11">
        <v>60</v>
      </c>
      <c r="B59" s="1">
        <v>24100</v>
      </c>
      <c r="C59" s="4" t="s">
        <v>9</v>
      </c>
      <c r="D59" s="6" t="s">
        <v>10</v>
      </c>
      <c r="E59" s="6" t="s">
        <v>6</v>
      </c>
      <c r="F59" s="4">
        <v>0</v>
      </c>
    </row>
    <row r="60" spans="1:6">
      <c r="A60" s="11">
        <v>62</v>
      </c>
      <c r="B60" s="1">
        <v>24106</v>
      </c>
      <c r="C60" s="4" t="s">
        <v>68</v>
      </c>
      <c r="D60" s="6" t="s">
        <v>10</v>
      </c>
      <c r="E60" s="6" t="s">
        <v>6</v>
      </c>
      <c r="F60" s="4">
        <v>0</v>
      </c>
    </row>
    <row r="61" spans="1:6">
      <c r="A61" s="11">
        <v>63</v>
      </c>
      <c r="B61" s="1">
        <v>29100</v>
      </c>
      <c r="C61" s="6" t="s">
        <v>51</v>
      </c>
      <c r="D61" s="6" t="s">
        <v>10</v>
      </c>
      <c r="E61" s="6" t="s">
        <v>6</v>
      </c>
      <c r="F61" s="10">
        <v>62755</v>
      </c>
    </row>
    <row r="62" spans="1:6">
      <c r="A62" s="11">
        <v>64</v>
      </c>
      <c r="B62" s="1">
        <v>29100</v>
      </c>
      <c r="C62" s="6" t="s">
        <v>52</v>
      </c>
      <c r="D62" s="6" t="s">
        <v>10</v>
      </c>
      <c r="E62" s="6" t="s">
        <v>6</v>
      </c>
      <c r="F62" s="6">
        <v>24309</v>
      </c>
    </row>
    <row r="63" spans="1:6">
      <c r="A63" s="11">
        <v>65</v>
      </c>
      <c r="B63" s="1">
        <v>29100</v>
      </c>
      <c r="C63" s="6" t="s">
        <v>53</v>
      </c>
      <c r="D63" s="6" t="s">
        <v>10</v>
      </c>
      <c r="E63" s="6" t="s">
        <v>6</v>
      </c>
      <c r="F63" s="6">
        <v>11992</v>
      </c>
    </row>
    <row r="64" spans="1:6">
      <c r="A64" s="11">
        <v>66</v>
      </c>
      <c r="B64" s="1">
        <v>29100</v>
      </c>
      <c r="C64" s="6" t="s">
        <v>54</v>
      </c>
      <c r="D64" s="6" t="s">
        <v>10</v>
      </c>
      <c r="E64" s="6" t="s">
        <v>6</v>
      </c>
      <c r="F64" s="10">
        <v>3580</v>
      </c>
    </row>
    <row r="65" spans="1:6">
      <c r="A65" s="11">
        <v>67</v>
      </c>
      <c r="B65" s="1">
        <v>29100</v>
      </c>
      <c r="C65" s="6" t="s">
        <v>55</v>
      </c>
      <c r="D65" s="6" t="s">
        <v>10</v>
      </c>
      <c r="E65" s="6" t="s">
        <v>6</v>
      </c>
      <c r="F65" s="10">
        <v>428</v>
      </c>
    </row>
    <row r="66" spans="1:6">
      <c r="A66" s="11">
        <v>68</v>
      </c>
      <c r="B66" s="1">
        <v>28211</v>
      </c>
      <c r="C66" s="6" t="s">
        <v>56</v>
      </c>
      <c r="D66" s="6" t="s">
        <v>10</v>
      </c>
      <c r="E66" s="6" t="s">
        <v>6</v>
      </c>
      <c r="F66" s="10">
        <v>9915</v>
      </c>
    </row>
    <row r="67" spans="1:6">
      <c r="A67" s="11">
        <v>69</v>
      </c>
      <c r="B67" s="1">
        <v>30910</v>
      </c>
      <c r="C67" s="6" t="s">
        <v>57</v>
      </c>
      <c r="D67" s="6" t="s">
        <v>10</v>
      </c>
      <c r="E67" s="6" t="s">
        <v>6</v>
      </c>
      <c r="F67" s="6">
        <v>892696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3FC9-92AF-4939-8C04-88EB3DDFD661}">
  <dimension ref="A1:H37"/>
  <sheetViews>
    <sheetView tabSelected="1" zoomScale="112" zoomScaleNormal="130" workbookViewId="0">
      <selection activeCell="E29" sqref="E29"/>
    </sheetView>
  </sheetViews>
  <sheetFormatPr defaultRowHeight="12"/>
  <cols>
    <col min="1" max="1" width="9.140625" style="25"/>
    <col min="2" max="2" width="19.5703125" style="23" bestFit="1" customWidth="1"/>
    <col min="3" max="3" width="27.140625" style="25" bestFit="1" customWidth="1"/>
    <col min="4" max="4" width="12" style="23" bestFit="1" customWidth="1"/>
    <col min="5" max="5" width="18.7109375" style="23" bestFit="1" customWidth="1"/>
    <col min="6" max="6" width="26.7109375" style="23" bestFit="1" customWidth="1"/>
    <col min="7" max="7" width="17.7109375" style="23" customWidth="1"/>
    <col min="8" max="16384" width="9.140625" style="25"/>
  </cols>
  <sheetData>
    <row r="1" spans="1:8" s="16" customFormat="1" ht="24">
      <c r="A1" s="18" t="s">
        <v>15</v>
      </c>
      <c r="B1" s="19" t="s">
        <v>0</v>
      </c>
      <c r="C1" s="19" t="s">
        <v>1</v>
      </c>
      <c r="D1" s="20" t="s">
        <v>11</v>
      </c>
      <c r="E1" s="19" t="s">
        <v>12</v>
      </c>
      <c r="F1" s="20" t="s">
        <v>13</v>
      </c>
      <c r="G1" s="20" t="s">
        <v>14</v>
      </c>
    </row>
    <row r="2" spans="1:8" ht="15">
      <c r="A2" s="21">
        <v>1</v>
      </c>
      <c r="B2" s="1">
        <v>10721</v>
      </c>
      <c r="C2" s="22" t="s">
        <v>16</v>
      </c>
      <c r="D2" s="4" t="s">
        <v>17</v>
      </c>
      <c r="E2" s="2">
        <v>3.427</v>
      </c>
      <c r="F2" s="4" t="s">
        <v>25</v>
      </c>
      <c r="G2" s="23" t="s">
        <v>59</v>
      </c>
      <c r="H2" s="24" t="str">
        <f>IF(B2 = INDEX(Facts_Production!B:B, MATCH(C2, Facts_Production!C:C, 0)), "Match", "Mismatch")</f>
        <v>Match</v>
      </c>
    </row>
    <row r="3" spans="1:8" ht="15">
      <c r="A3" s="21">
        <v>2</v>
      </c>
      <c r="B3" s="1">
        <v>12000</v>
      </c>
      <c r="C3" s="3" t="s">
        <v>20</v>
      </c>
      <c r="D3" s="6" t="s">
        <v>21</v>
      </c>
      <c r="E3" s="2">
        <v>2.0722</v>
      </c>
      <c r="F3" s="4" t="s">
        <v>26</v>
      </c>
      <c r="G3" s="23" t="s">
        <v>60</v>
      </c>
      <c r="H3" s="24" t="str">
        <f>IF(B3 = INDEX(Facts_Production!B:B, MATCH(C3, Facts_Production!C:C, 0)), "Match", "Mismatch")</f>
        <v>Match</v>
      </c>
    </row>
    <row r="4" spans="1:8" ht="15">
      <c r="A4" s="21">
        <v>3</v>
      </c>
      <c r="B4" s="1">
        <v>18110</v>
      </c>
      <c r="C4" s="3" t="s">
        <v>39</v>
      </c>
      <c r="D4" s="4" t="s">
        <v>17</v>
      </c>
      <c r="E4" s="4">
        <v>0.40649999999999997</v>
      </c>
      <c r="F4" s="4" t="s">
        <v>27</v>
      </c>
      <c r="G4" s="23" t="s">
        <v>61</v>
      </c>
      <c r="H4" s="24" t="str">
        <f>IF(B4 = INDEX(Facts_Production!B:B, MATCH(C4, Facts_Production!C:C, 0)), "Match", "Mismatch")</f>
        <v>Match</v>
      </c>
    </row>
    <row r="5" spans="1:8" ht="15">
      <c r="A5" s="21">
        <v>4</v>
      </c>
      <c r="B5" s="1">
        <v>18110</v>
      </c>
      <c r="C5" s="3" t="s">
        <v>40</v>
      </c>
      <c r="D5" s="4" t="s">
        <v>17</v>
      </c>
      <c r="E5" s="4">
        <v>0.40649999999999997</v>
      </c>
      <c r="F5" s="4" t="s">
        <v>27</v>
      </c>
      <c r="G5" s="23" t="s">
        <v>61</v>
      </c>
      <c r="H5" s="24" t="str">
        <f>IF(B5 = INDEX(Facts_Production!B:B, MATCH(C5, Facts_Production!C:C, 0)), "Match", "Mismatch")</f>
        <v>Match</v>
      </c>
    </row>
    <row r="6" spans="1:8" ht="15">
      <c r="A6" s="21">
        <v>5</v>
      </c>
      <c r="B6" s="1">
        <v>17020</v>
      </c>
      <c r="C6" s="3" t="s">
        <v>41</v>
      </c>
      <c r="D6" s="4" t="s">
        <v>17</v>
      </c>
      <c r="E6" s="4">
        <v>0.40649999999999997</v>
      </c>
      <c r="F6" s="4" t="s">
        <v>27</v>
      </c>
      <c r="G6" s="23" t="s">
        <v>61</v>
      </c>
      <c r="H6" s="24" t="str">
        <f>IF(B6 = INDEX(Facts_Production!B:B, MATCH(C6, Facts_Production!C:C, 0)), "Match", "Mismatch")</f>
        <v>Match</v>
      </c>
    </row>
    <row r="7" spans="1:8" ht="15">
      <c r="A7" s="21">
        <v>6</v>
      </c>
      <c r="B7" s="1">
        <v>17020</v>
      </c>
      <c r="C7" s="3" t="s">
        <v>42</v>
      </c>
      <c r="D7" s="4" t="s">
        <v>17</v>
      </c>
      <c r="E7" s="4">
        <v>0.40649999999999997</v>
      </c>
      <c r="F7" s="4" t="s">
        <v>27</v>
      </c>
      <c r="G7" s="23" t="s">
        <v>61</v>
      </c>
      <c r="H7" s="24" t="str">
        <f>IF(B7 = INDEX(Facts_Production!B:B, MATCH(C7, Facts_Production!C:C, 0)), "Match", "Mismatch")</f>
        <v>Match</v>
      </c>
    </row>
    <row r="8" spans="1:8" ht="15">
      <c r="A8" s="21">
        <v>7</v>
      </c>
      <c r="B8" s="1">
        <v>16210</v>
      </c>
      <c r="C8" s="3" t="s">
        <v>43</v>
      </c>
      <c r="D8" s="4" t="s">
        <v>17</v>
      </c>
      <c r="E8" s="2">
        <v>8.9399999999999993E-2</v>
      </c>
      <c r="F8" s="4" t="s">
        <v>26</v>
      </c>
      <c r="G8" s="23" t="s">
        <v>61</v>
      </c>
      <c r="H8" s="24" t="str">
        <f>IF(B8 = INDEX(Facts_Production!B:B, MATCH(C8, Facts_Production!C:C, 0)), "Match", "Mismatch")</f>
        <v>Match</v>
      </c>
    </row>
    <row r="9" spans="1:8" ht="15">
      <c r="A9" s="21">
        <v>8</v>
      </c>
      <c r="B9" s="1">
        <v>20110</v>
      </c>
      <c r="C9" s="3" t="s">
        <v>28</v>
      </c>
      <c r="D9" s="4" t="s">
        <v>17</v>
      </c>
      <c r="E9" s="2">
        <v>7.7600000000000002E-2</v>
      </c>
      <c r="F9" s="4" t="s">
        <v>26</v>
      </c>
      <c r="G9" s="23" t="s">
        <v>62</v>
      </c>
      <c r="H9" s="24" t="str">
        <f>IF(B9 = INDEX(Facts_Production!B:B, MATCH(C9, Facts_Production!C:C, 0)), "Match", "Mismatch")</f>
        <v>Match</v>
      </c>
    </row>
    <row r="10" spans="1:8" ht="15">
      <c r="A10" s="21">
        <v>9</v>
      </c>
      <c r="B10" s="1">
        <v>20110</v>
      </c>
      <c r="C10" s="3" t="s">
        <v>29</v>
      </c>
      <c r="D10" s="4" t="s">
        <v>17</v>
      </c>
      <c r="E10" s="2">
        <v>0.23039999999999999</v>
      </c>
      <c r="F10" s="4" t="s">
        <v>26</v>
      </c>
      <c r="G10" s="23" t="s">
        <v>62</v>
      </c>
      <c r="H10" s="24" t="str">
        <f>IF(B10 = INDEX(Facts_Production!B:B, MATCH(C10, Facts_Production!C:C, 0)), "Match", "Mismatch")</f>
        <v>Match</v>
      </c>
    </row>
    <row r="11" spans="1:8" ht="15">
      <c r="A11" s="21">
        <v>10</v>
      </c>
      <c r="B11" s="1">
        <v>20120</v>
      </c>
      <c r="C11" s="3" t="s">
        <v>44</v>
      </c>
      <c r="D11" s="4" t="s">
        <v>30</v>
      </c>
      <c r="E11" s="4">
        <v>1.143</v>
      </c>
      <c r="F11" s="4" t="s">
        <v>26</v>
      </c>
      <c r="G11" s="23" t="s">
        <v>63</v>
      </c>
      <c r="H11" s="24" t="str">
        <f>IF(B11 = INDEX(Facts_Production!B:B, MATCH(C11, Facts_Production!C:C, 0)), "Match", "Mismatch")</f>
        <v>Match</v>
      </c>
    </row>
    <row r="12" spans="1:8" ht="15">
      <c r="A12" s="21">
        <v>11</v>
      </c>
      <c r="B12" s="1">
        <v>20120</v>
      </c>
      <c r="C12" s="3" t="s">
        <v>45</v>
      </c>
      <c r="D12" s="4" t="s">
        <v>30</v>
      </c>
      <c r="E12" s="4">
        <v>1.143</v>
      </c>
      <c r="F12" s="4" t="s">
        <v>26</v>
      </c>
      <c r="G12" s="23" t="s">
        <v>63</v>
      </c>
      <c r="H12" s="24" t="str">
        <f>IF(B12 = INDEX(Facts_Production!B:B, MATCH(C12, Facts_Production!C:C, 0)), "Match", "Mismatch")</f>
        <v>Match</v>
      </c>
    </row>
    <row r="13" spans="1:8" ht="15">
      <c r="A13" s="21">
        <v>12</v>
      </c>
      <c r="B13" s="1">
        <v>20120</v>
      </c>
      <c r="C13" s="3" t="s">
        <v>46</v>
      </c>
      <c r="D13" s="4" t="s">
        <v>30</v>
      </c>
      <c r="E13" s="4">
        <v>1.143</v>
      </c>
      <c r="F13" s="4" t="s">
        <v>26</v>
      </c>
      <c r="G13" s="23" t="s">
        <v>63</v>
      </c>
      <c r="H13" s="24" t="str">
        <f>IF(B13 = INDEX(Facts_Production!B:B, MATCH(C13, Facts_Production!C:C, 0)), "Match", "Mismatch")</f>
        <v>Match</v>
      </c>
    </row>
    <row r="14" spans="1:8" ht="15">
      <c r="A14" s="21">
        <v>13</v>
      </c>
      <c r="B14" s="1">
        <v>20120</v>
      </c>
      <c r="C14" s="3" t="s">
        <v>47</v>
      </c>
      <c r="D14" s="4" t="s">
        <v>30</v>
      </c>
      <c r="E14" s="4">
        <v>0.12520000000000001</v>
      </c>
      <c r="F14" s="4" t="s">
        <v>26</v>
      </c>
      <c r="G14" s="23" t="s">
        <v>63</v>
      </c>
      <c r="H14" s="24" t="str">
        <f>IF(B14 = INDEX(Facts_Production!B:B, MATCH(C14, Facts_Production!C:C, 0)), "Match", "Mismatch")</f>
        <v>Match</v>
      </c>
    </row>
    <row r="15" spans="1:8" ht="15">
      <c r="A15" s="21">
        <v>14</v>
      </c>
      <c r="B15" s="1">
        <v>20120</v>
      </c>
      <c r="C15" s="3" t="s">
        <v>48</v>
      </c>
      <c r="D15" s="4" t="s">
        <v>30</v>
      </c>
      <c r="E15" s="4">
        <v>0.12520000000000001</v>
      </c>
      <c r="F15" s="4" t="s">
        <v>26</v>
      </c>
      <c r="G15" s="23" t="s">
        <v>63</v>
      </c>
      <c r="H15" s="24" t="str">
        <f>IF(B15 = INDEX(Facts_Production!B:B, MATCH(C15, Facts_Production!C:C, 0)), "Match", "Mismatch")</f>
        <v>Match</v>
      </c>
    </row>
    <row r="16" spans="1:8" ht="15">
      <c r="A16" s="21">
        <v>15</v>
      </c>
      <c r="B16" s="1">
        <v>20120</v>
      </c>
      <c r="C16" s="3" t="s">
        <v>49</v>
      </c>
      <c r="D16" s="4" t="s">
        <v>30</v>
      </c>
      <c r="E16" s="4">
        <v>0.12520000000000001</v>
      </c>
      <c r="F16" s="4" t="s">
        <v>26</v>
      </c>
      <c r="G16" s="23" t="s">
        <v>63</v>
      </c>
      <c r="H16" s="24" t="str">
        <f>IF(B16 = INDEX(Facts_Production!B:B, MATCH(C16, Facts_Production!C:C, 0)), "Match", "Mismatch")</f>
        <v>Match</v>
      </c>
    </row>
    <row r="17" spans="1:8" ht="15">
      <c r="A17" s="21">
        <v>16</v>
      </c>
      <c r="B17" s="1">
        <v>20120</v>
      </c>
      <c r="C17" s="3" t="s">
        <v>50</v>
      </c>
      <c r="D17" s="4" t="s">
        <v>30</v>
      </c>
      <c r="E17" s="4">
        <v>0.12520000000000001</v>
      </c>
      <c r="F17" s="4" t="s">
        <v>26</v>
      </c>
      <c r="G17" s="23" t="s">
        <v>63</v>
      </c>
      <c r="H17" s="24" t="str">
        <f>IF(B17 = INDEX(Facts_Production!B:B, MATCH(C17, Facts_Production!C:C, 0)), "Match", "Mismatch")</f>
        <v>Match</v>
      </c>
    </row>
    <row r="18" spans="1:8" ht="15">
      <c r="A18" s="21">
        <v>17</v>
      </c>
      <c r="B18" s="1">
        <v>23110</v>
      </c>
      <c r="C18" s="5" t="s">
        <v>18</v>
      </c>
      <c r="D18" s="6" t="s">
        <v>22</v>
      </c>
      <c r="E18" s="4">
        <v>0.36020000000000002</v>
      </c>
      <c r="F18" s="4" t="s">
        <v>26</v>
      </c>
      <c r="G18" s="23" t="s">
        <v>64</v>
      </c>
      <c r="H18" s="24" t="str">
        <f>IF(B18 = INDEX(Facts_Production!B:B, MATCH(C18, Facts_Production!C:C, 0)), "Match", "Mismatch")</f>
        <v>Match</v>
      </c>
    </row>
    <row r="19" spans="1:8" ht="15">
      <c r="A19" s="21">
        <v>18</v>
      </c>
      <c r="B19" s="1">
        <v>23940</v>
      </c>
      <c r="C19" s="5" t="s">
        <v>19</v>
      </c>
      <c r="D19" s="6" t="s">
        <v>23</v>
      </c>
      <c r="E19" s="26">
        <v>4.6500000000000004</v>
      </c>
      <c r="F19" s="4" t="s">
        <v>26</v>
      </c>
      <c r="G19" s="23" t="s">
        <v>65</v>
      </c>
      <c r="H19" s="24" t="str">
        <f>IF(B19 = INDEX(Facts_Production!B:B, MATCH(C19, Facts_Production!C:C, 0)), "Match", "Mismatch")</f>
        <v>Match</v>
      </c>
    </row>
    <row r="20" spans="1:8" ht="15">
      <c r="A20" s="21">
        <v>19</v>
      </c>
      <c r="B20" s="1">
        <v>19100</v>
      </c>
      <c r="C20" s="5" t="s">
        <v>7</v>
      </c>
      <c r="D20" s="4" t="s">
        <v>17</v>
      </c>
      <c r="E20" s="27">
        <v>1E-3</v>
      </c>
      <c r="F20" s="4" t="s">
        <v>35</v>
      </c>
      <c r="G20" s="23" t="s">
        <v>66</v>
      </c>
      <c r="H20" s="24" t="str">
        <f>IF(B20 = INDEX(Facts_Production!B:B, MATCH(C20, Facts_Production!C:C, 0)), "Match", "Mismatch")</f>
        <v>Match</v>
      </c>
    </row>
    <row r="21" spans="1:8" ht="15">
      <c r="A21" s="21">
        <v>20</v>
      </c>
      <c r="B21" s="1">
        <v>24100</v>
      </c>
      <c r="C21" s="5" t="s">
        <v>31</v>
      </c>
      <c r="D21" s="4" t="s">
        <v>17</v>
      </c>
      <c r="E21" s="4">
        <v>1E-4</v>
      </c>
      <c r="F21" s="4" t="s">
        <v>35</v>
      </c>
      <c r="G21" s="23" t="s">
        <v>66</v>
      </c>
      <c r="H21" s="24" t="str">
        <f>IF(B21 = INDEX(Facts_Production!B:B, MATCH(C21, Facts_Production!C:C, 0)), "Match", "Mismatch")</f>
        <v>Match</v>
      </c>
    </row>
    <row r="22" spans="1:8" ht="15">
      <c r="A22" s="21">
        <v>21</v>
      </c>
      <c r="B22" s="1">
        <v>24310</v>
      </c>
      <c r="C22" s="5" t="s">
        <v>8</v>
      </c>
      <c r="D22" s="4" t="s">
        <v>17</v>
      </c>
      <c r="E22" s="4">
        <v>0</v>
      </c>
      <c r="F22" s="4" t="s">
        <v>35</v>
      </c>
      <c r="G22" s="23" t="s">
        <v>66</v>
      </c>
      <c r="H22" s="24" t="str">
        <f>IF(B22 = INDEX(Facts_Production!B:B, MATCH(C22, Facts_Production!C:C, 0)), "Match", "Mismatch")</f>
        <v>Match</v>
      </c>
    </row>
    <row r="23" spans="1:8" ht="15">
      <c r="A23" s="21">
        <v>22</v>
      </c>
      <c r="B23" s="1">
        <v>24100</v>
      </c>
      <c r="C23" s="5" t="s">
        <v>32</v>
      </c>
      <c r="D23" s="4" t="s">
        <v>17</v>
      </c>
      <c r="E23" s="4">
        <v>0</v>
      </c>
      <c r="F23" s="4" t="s">
        <v>35</v>
      </c>
      <c r="G23" s="23" t="s">
        <v>66</v>
      </c>
      <c r="H23" s="24" t="str">
        <f>IF(B23 = INDEX(Facts_Production!B:B, MATCH(C23, Facts_Production!C:C, 0)), "Match", "Mismatch")</f>
        <v>Match</v>
      </c>
    </row>
    <row r="24" spans="1:8" ht="15">
      <c r="A24" s="21">
        <v>23</v>
      </c>
      <c r="B24" s="1">
        <v>24100</v>
      </c>
      <c r="C24" s="5" t="s">
        <v>33</v>
      </c>
      <c r="D24" s="4" t="s">
        <v>17</v>
      </c>
      <c r="E24" s="4">
        <v>0</v>
      </c>
      <c r="F24" s="4" t="s">
        <v>35</v>
      </c>
      <c r="G24" s="23" t="s">
        <v>66</v>
      </c>
      <c r="H24" s="24" t="str">
        <f>IF(B24 = INDEX(Facts_Production!B:B, MATCH(C24, Facts_Production!C:C, 0)), "Match", "Mismatch")</f>
        <v>Match</v>
      </c>
    </row>
    <row r="25" spans="1:8" ht="15">
      <c r="A25" s="21">
        <v>24</v>
      </c>
      <c r="B25" s="1">
        <v>24100</v>
      </c>
      <c r="C25" s="5" t="s">
        <v>34</v>
      </c>
      <c r="D25" s="4" t="s">
        <v>17</v>
      </c>
      <c r="E25" s="4">
        <v>0</v>
      </c>
      <c r="F25" s="4" t="s">
        <v>35</v>
      </c>
      <c r="G25" s="23" t="s">
        <v>66</v>
      </c>
      <c r="H25" s="24" t="str">
        <f>IF(B25 = INDEX(Facts_Production!B:B, MATCH(C25, Facts_Production!C:C, 0)), "Match", "Mismatch")</f>
        <v>Match</v>
      </c>
    </row>
    <row r="26" spans="1:8" ht="15">
      <c r="A26" s="21">
        <v>25</v>
      </c>
      <c r="B26" s="1">
        <v>24100</v>
      </c>
      <c r="C26" s="28" t="s">
        <v>9</v>
      </c>
      <c r="D26" s="4" t="s">
        <v>17</v>
      </c>
      <c r="E26" s="4">
        <v>0.92390000000000005</v>
      </c>
      <c r="F26" s="4" t="s">
        <v>36</v>
      </c>
      <c r="G26" s="23" t="s">
        <v>66</v>
      </c>
      <c r="H26" s="24" t="str">
        <f>IF(B26 = INDEX(Facts_Production!B:B, MATCH(C26, Facts_Production!C:C, 0)), "Match", "Mismatch")</f>
        <v>Match</v>
      </c>
    </row>
    <row r="27" spans="1:8" ht="12.75" customHeight="1">
      <c r="A27" s="21">
        <v>26</v>
      </c>
      <c r="B27" s="1">
        <v>24106</v>
      </c>
      <c r="C27" s="5" t="s">
        <v>68</v>
      </c>
      <c r="D27" s="4" t="s">
        <v>17</v>
      </c>
      <c r="E27" s="4">
        <v>2.5215000000000001</v>
      </c>
      <c r="F27" s="4" t="s">
        <v>37</v>
      </c>
      <c r="G27" s="23" t="s">
        <v>66</v>
      </c>
      <c r="H27" s="24" t="str">
        <f>IF(B27 = INDEX(Facts_Production!B:B, MATCH(C27, Facts_Production!C:C, 0)), "Match", "Mismatch")</f>
        <v>Match</v>
      </c>
    </row>
    <row r="28" spans="1:8" ht="15">
      <c r="A28" s="21">
        <v>27</v>
      </c>
      <c r="B28" s="1">
        <v>29100</v>
      </c>
      <c r="C28" s="3" t="s">
        <v>51</v>
      </c>
      <c r="D28" s="6" t="s">
        <v>24</v>
      </c>
      <c r="E28" s="34">
        <v>0.90490000000000004</v>
      </c>
      <c r="F28" s="4" t="s">
        <v>38</v>
      </c>
      <c r="G28" s="23" t="s">
        <v>67</v>
      </c>
      <c r="H28" s="24" t="str">
        <f>IF(B28 = INDEX(Facts_Production!B:B, MATCH(C28, Facts_Production!C:C, 0)), "Match", "Mismatch")</f>
        <v>Match</v>
      </c>
    </row>
    <row r="29" spans="1:8" ht="15">
      <c r="A29" s="21">
        <v>28</v>
      </c>
      <c r="B29" s="1">
        <v>29100</v>
      </c>
      <c r="C29" s="3" t="s">
        <v>52</v>
      </c>
      <c r="D29" s="6" t="s">
        <v>24</v>
      </c>
      <c r="E29" s="34">
        <v>0.90490000000000004</v>
      </c>
      <c r="F29" s="4" t="s">
        <v>38</v>
      </c>
      <c r="G29" s="23" t="s">
        <v>67</v>
      </c>
      <c r="H29" s="24" t="str">
        <f>IF(B29 = INDEX(Facts_Production!B:B, MATCH(C29, Facts_Production!C:C, 0)), "Match", "Mismatch")</f>
        <v>Match</v>
      </c>
    </row>
    <row r="30" spans="1:8" ht="15">
      <c r="A30" s="21">
        <v>29</v>
      </c>
      <c r="B30" s="1">
        <v>29100</v>
      </c>
      <c r="C30" s="3" t="s">
        <v>53</v>
      </c>
      <c r="D30" s="6" t="s">
        <v>24</v>
      </c>
      <c r="E30" s="2">
        <v>4.3200000000000002E-2</v>
      </c>
      <c r="F30" s="4" t="s">
        <v>38</v>
      </c>
      <c r="G30" s="23" t="s">
        <v>67</v>
      </c>
      <c r="H30" s="24" t="str">
        <f>IF(B30 = INDEX(Facts_Production!B:B, MATCH(C30, Facts_Production!C:C, 0)), "Match", "Mismatch")</f>
        <v>Match</v>
      </c>
    </row>
    <row r="31" spans="1:8" ht="15">
      <c r="A31" s="21">
        <v>30</v>
      </c>
      <c r="B31" s="1">
        <v>29100</v>
      </c>
      <c r="C31" s="3" t="s">
        <v>54</v>
      </c>
      <c r="D31" s="6" t="s">
        <v>24</v>
      </c>
      <c r="E31" s="2">
        <v>0.1925</v>
      </c>
      <c r="F31" s="4" t="s">
        <v>38</v>
      </c>
      <c r="G31" s="23" t="s">
        <v>67</v>
      </c>
      <c r="H31" s="24" t="str">
        <f>IF(B31 = INDEX(Facts_Production!B:B, MATCH(C31, Facts_Production!C:C, 0)), "Match", "Mismatch")</f>
        <v>Match</v>
      </c>
    </row>
    <row r="32" spans="1:8" ht="15">
      <c r="A32" s="21">
        <v>31</v>
      </c>
      <c r="B32" s="1">
        <v>29100</v>
      </c>
      <c r="C32" s="3" t="s">
        <v>55</v>
      </c>
      <c r="D32" s="6" t="s">
        <v>24</v>
      </c>
      <c r="E32" s="2">
        <v>0.1484</v>
      </c>
      <c r="F32" s="4" t="s">
        <v>38</v>
      </c>
      <c r="G32" s="23" t="s">
        <v>67</v>
      </c>
      <c r="H32" s="24" t="str">
        <f>IF(B32 = INDEX(Facts_Production!B:B, MATCH(C32, Facts_Production!C:C, 0)), "Match", "Mismatch")</f>
        <v>Match</v>
      </c>
    </row>
    <row r="33" spans="1:8" ht="15">
      <c r="A33" s="21">
        <v>32</v>
      </c>
      <c r="B33" s="1">
        <v>28211</v>
      </c>
      <c r="C33" s="3" t="s">
        <v>56</v>
      </c>
      <c r="D33" s="6" t="s">
        <v>24</v>
      </c>
      <c r="E33" s="2">
        <v>0.33989999999999998</v>
      </c>
      <c r="F33" s="4" t="s">
        <v>38</v>
      </c>
      <c r="G33" s="23" t="s">
        <v>67</v>
      </c>
      <c r="H33" s="24" t="str">
        <f>IF(B33 = INDEX(Facts_Production!B:B, MATCH(C33, Facts_Production!C:C, 0)), "Match", "Mismatch")</f>
        <v>Match</v>
      </c>
    </row>
    <row r="34" spans="1:8" ht="15">
      <c r="A34" s="21">
        <v>33</v>
      </c>
      <c r="B34" s="1">
        <v>30910</v>
      </c>
      <c r="C34" s="3" t="s">
        <v>57</v>
      </c>
      <c r="D34" s="6" t="s">
        <v>24</v>
      </c>
      <c r="E34" s="2">
        <v>0.68410000000000004</v>
      </c>
      <c r="F34" s="4" t="s">
        <v>38</v>
      </c>
      <c r="G34" s="23" t="s">
        <v>67</v>
      </c>
      <c r="H34" s="24" t="str">
        <f>IF(B34 = INDEX(Facts_Production!B:B, MATCH(C34, Facts_Production!C:C, 0)), "Match", "Mismatch")</f>
        <v>Match</v>
      </c>
    </row>
    <row r="37" spans="1:8">
      <c r="E37" s="29"/>
    </row>
  </sheetData>
  <conditionalFormatting sqref="B1:B1048576">
    <cfRule type="expression" dxfId="0" priority="1">
      <formula>"$$=B2 &lt;&gt; XLOOKUP(C2, Facts_Production!C:C, Facts_Production!B:B)$$"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36D6-7CF6-4C4D-A5A1-8D6581D353E3}">
  <dimension ref="A1:B3"/>
  <sheetViews>
    <sheetView workbookViewId="0">
      <selection sqref="A1:XFD1"/>
    </sheetView>
  </sheetViews>
  <sheetFormatPr defaultRowHeight="15"/>
  <cols>
    <col min="1" max="1" width="18" style="24" bestFit="1" customWidth="1"/>
    <col min="2" max="2" width="16.85546875" style="24" bestFit="1" customWidth="1"/>
    <col min="3" max="16384" width="9.140625" style="24"/>
  </cols>
  <sheetData>
    <row r="1" spans="1:2" ht="24">
      <c r="A1" s="30" t="s">
        <v>2</v>
      </c>
      <c r="B1" s="30" t="s">
        <v>70</v>
      </c>
    </row>
    <row r="2" spans="1:2">
      <c r="A2" s="24" t="s">
        <v>5</v>
      </c>
      <c r="B2" s="24">
        <v>1</v>
      </c>
    </row>
    <row r="3" spans="1:2">
      <c r="A3" s="24" t="s">
        <v>10</v>
      </c>
      <c r="B3" s="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Facts_Production</vt:lpstr>
      <vt:lpstr>Dim_Items</vt:lpstr>
      <vt:lpstr>Dim_Calendar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 Baig (F23), Muhammad</dc:creator>
  <cp:lastModifiedBy>Hannan Baig (F23), Muhammad</cp:lastModifiedBy>
  <dcterms:created xsi:type="dcterms:W3CDTF">2026-02-05T14:17:27Z</dcterms:created>
  <dcterms:modified xsi:type="dcterms:W3CDTF">2026-02-07T19:41:33Z</dcterms:modified>
</cp:coreProperties>
</file>